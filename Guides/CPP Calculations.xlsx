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P" sheetId="1" r:id="rId5"/>
  </sheets>
  <definedNames/>
  <calcPr/>
</workbook>
</file>

<file path=xl/sharedStrings.xml><?xml version="1.0" encoding="utf-8"?>
<sst xmlns="http://schemas.openxmlformats.org/spreadsheetml/2006/main" count="13" uniqueCount="13">
  <si>
    <t>year</t>
  </si>
  <si>
    <t>Year’s Maximum Pensionable Earnings (YMPE)</t>
  </si>
  <si>
    <t>Basic Exemption Amount</t>
  </si>
  <si>
    <t>CPP1- Maximum Contributory Earnings</t>
  </si>
  <si>
    <t>CPP1- Employee and Employer Contribution Rate</t>
  </si>
  <si>
    <t>CPP1- Maximum Annual Employee and Employer Contribution</t>
  </si>
  <si>
    <t>CPP1- Self Employed Contribution Rate</t>
  </si>
  <si>
    <t>CPP1- Maximum Annual Self Employed Contribution</t>
  </si>
  <si>
    <t>Year’s Additional Maximum Pensionable Earnings (YAMPE)</t>
  </si>
  <si>
    <t>CPP2- Employee and Employer Contribution Rate</t>
  </si>
  <si>
    <t>CPP2- Maximum Annual Employee and Employer Contribution</t>
  </si>
  <si>
    <t>CPP2- Self Employed Contribution Rate</t>
  </si>
  <si>
    <t>CPP2- Maximum Annual Self Employed Contribution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</si>
</sst>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6.75"/>
    <col customWidth="1" min="3" max="3" width="10.63"/>
    <col customWidth="1" min="4" max="4" width="10.88"/>
    <col customWidth="1" min="5" max="5" width="14.38"/>
    <col customWidth="1" min="6" max="6" width="17.5"/>
    <col customWidth="1" min="7" max="7" width="14.38"/>
    <col customWidth="1" min="8" max="8" width="17.5"/>
    <col customWidth="1" min="9" max="9" width="17.63"/>
    <col customWidth="1" min="10" max="10" width="14.0"/>
    <col customWidth="1" min="11" max="11" width="17.75"/>
    <col customWidth="1" min="12" max="12" width="14.25"/>
    <col customWidth="1" min="13" max="13" width="17.5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>
        <v>2026.0</v>
      </c>
      <c r="B2" s="4">
        <v>74600.0</v>
      </c>
      <c r="C2" s="4">
        <v>3500.0</v>
      </c>
      <c r="D2" s="4">
        <f t="shared" ref="D2:D3" si="1">B2-C2</f>
        <v>71100</v>
      </c>
      <c r="E2" s="5">
        <v>0.0595</v>
      </c>
      <c r="F2" s="4">
        <f t="shared" ref="F2:F3" si="2">E2*D2</f>
        <v>4230.45</v>
      </c>
      <c r="G2" s="5">
        <v>0.119</v>
      </c>
      <c r="H2" s="4">
        <f t="shared" ref="H2:H3" si="3">G2*D2</f>
        <v>8460.9</v>
      </c>
      <c r="I2" s="4">
        <v>85000.0</v>
      </c>
      <c r="J2" s="5">
        <v>0.04</v>
      </c>
      <c r="K2" s="4">
        <f t="shared" ref="K2:K3" si="4">(I2-D2)*J2</f>
        <v>556</v>
      </c>
      <c r="L2" s="5">
        <v>0.08</v>
      </c>
      <c r="M2" s="4">
        <f t="shared" ref="M2:M3" si="5">(I2-D2)*L2</f>
        <v>1112</v>
      </c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3">
        <v>2025.0</v>
      </c>
      <c r="B3" s="4">
        <v>71300.0</v>
      </c>
      <c r="C3" s="4">
        <v>3500.0</v>
      </c>
      <c r="D3" s="4">
        <f t="shared" si="1"/>
        <v>67800</v>
      </c>
      <c r="E3" s="5">
        <v>0.0595</v>
      </c>
      <c r="F3" s="4">
        <f t="shared" si="2"/>
        <v>4034.1</v>
      </c>
      <c r="G3" s="5">
        <v>0.119</v>
      </c>
      <c r="H3" s="4">
        <f t="shared" si="3"/>
        <v>8068.2</v>
      </c>
      <c r="I3" s="4">
        <v>81200.0</v>
      </c>
      <c r="J3" s="5">
        <v>0.04</v>
      </c>
      <c r="K3" s="4">
        <f t="shared" si="4"/>
        <v>536</v>
      </c>
      <c r="L3" s="5">
        <v>0.08</v>
      </c>
      <c r="M3" s="4">
        <f t="shared" si="5"/>
        <v>1072</v>
      </c>
      <c r="N3" s="6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drawing r:id="rId1"/>
</worksheet>
</file>